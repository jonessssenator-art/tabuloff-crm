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Блок питания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2.83203125" customWidth="1"/>
    <col min="5" max="5" width="20.83203125" customWidth="1"/>
  </cols>
  <sheetData>
    <row r="1">
      <c r="A1" t="str">
        <v>Расчёт блока питания для вывески</v>
      </c>
      <c r="B1" t="str">
        <v/>
      </c>
      <c r="C1" t="str">
        <v/>
      </c>
      <c r="D1" t="str">
        <v/>
      </c>
      <c r="E1" t="str">
        <v/>
      </c>
    </row>
    <row r="2">
      <c r="A2" t="str">
        <v>Впишите количество модулей и мощность одного — остальное посчитается</v>
      </c>
      <c r="B2" t="str">
        <v/>
      </c>
      <c r="C2" t="str">
        <v/>
      </c>
      <c r="D2" t="str">
        <v/>
      </c>
      <c r="E2" t="str">
        <v/>
      </c>
    </row>
    <row r="4">
      <c r="A4" t="str">
        <v>Участок</v>
      </c>
      <c r="B4" t="str">
        <v>Модулей, шт.</v>
      </c>
      <c r="C4" t="str">
        <v>Вт на модуль</v>
      </c>
      <c r="D4" t="str">
        <v>Итого, Вт</v>
      </c>
      <c r="E4" t="str">
        <v>С запасом 20 %, Вт</v>
      </c>
    </row>
    <row r="5">
      <c r="A5" t="str">
        <v>Буква «А»</v>
      </c>
      <c r="B5">
        <v>14</v>
      </c>
      <c r="C5">
        <v>0.72</v>
      </c>
      <c r="D5">
        <f>B5*C5</f>
      </c>
      <c r="E5">
        <f>ROUND(D5*1.2,1)</f>
      </c>
    </row>
    <row r="6">
      <c r="A6" t="str">
        <v>Буква «П»</v>
      </c>
      <c r="B6">
        <v>12</v>
      </c>
      <c r="C6">
        <v>0.72</v>
      </c>
      <c r="D6">
        <f>B6*C6</f>
      </c>
      <c r="E6">
        <f>ROUND(D6*1.2,1)</f>
      </c>
    </row>
    <row r="7">
      <c r="A7" t="str">
        <v>Буква «Т»</v>
      </c>
      <c r="B7">
        <v>9</v>
      </c>
      <c r="C7">
        <v>0.72</v>
      </c>
      <c r="D7">
        <f>B7*C7</f>
      </c>
      <c r="E7">
        <f>ROUND(D7*1.2,1)</f>
      </c>
    </row>
    <row r="8">
      <c r="A8" t="str">
        <v>Буква «Е»</v>
      </c>
      <c r="B8">
        <v>11</v>
      </c>
      <c r="C8">
        <v>0.72</v>
      </c>
      <c r="D8">
        <f>B8*C8</f>
      </c>
      <c r="E8">
        <f>ROUND(D8*1.2,1)</f>
      </c>
    </row>
    <row r="9">
      <c r="A9" t="str">
        <v>Буква «К»</v>
      </c>
      <c r="B9">
        <v>13</v>
      </c>
      <c r="C9">
        <v>0.72</v>
      </c>
      <c r="D9">
        <f>B9*C9</f>
      </c>
      <c r="E9">
        <f>ROUND(D9*1.2,1)</f>
      </c>
    </row>
    <row r="10">
      <c r="A10" t="str">
        <v>Буква «А»</v>
      </c>
      <c r="B10">
        <v>14</v>
      </c>
      <c r="C10">
        <v>0.72</v>
      </c>
      <c r="D10">
        <f>B10*C10</f>
      </c>
      <c r="E10">
        <f>ROUND(D10*1.2,1)</f>
      </c>
    </row>
    <row r="11">
      <c r="A11" t="str">
        <v>Всего</v>
      </c>
      <c r="B11">
        <f>SUM(B5:B10)</f>
      </c>
      <c r="D11">
        <f>SUM(D5:D10)</f>
      </c>
      <c r="E11">
        <f>ROUND(D11*1.2,1)</f>
      </c>
    </row>
    <row r="13">
      <c r="A13" t="str">
        <v>Блок питания — ближайший больший: 60, 100, 150 или 200 Вт IP67</v>
      </c>
    </row>
    <row r="14">
      <c r="A14" t="str">
        <v>Модуль 3 диода 2835 — 0,72 Вт; модуль 5730 — 1,5 Вт; лента 2835 (60 шт./м) — 4,8 Вт на метр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Блок питания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